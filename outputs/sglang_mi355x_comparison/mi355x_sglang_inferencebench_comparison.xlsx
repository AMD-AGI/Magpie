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a0c475c54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a412eead34580"/>
    <x:sheet xmlns:r="http://schemas.openxmlformats.org/officeDocument/2006/relationships" name="Comparisons" sheetId="2" r:id="R492ec00e33bc4ba8"/>
    <x:sheet xmlns:r="http://schemas.openxmlformats.org/officeDocument/2006/relationships" name="Methodology" sheetId="3" r:id="R0ee59573af934ced"/>
  </x:sheets>
</x:workbook>
</file>

<file path=xl/comments1.xml><?xml version="1.0" encoding="utf-8"?>
<x:comments xmlns:x="http://schemas.openxmlformats.org/spreadsheetml/2006/main">
  <x:authors>
    <x:author>tc={4180D226-4EDD-673F-9EEB-D4C8283073ED}</x:author>
    <x:author>tc={C1C2E4E1-57F1-C488-8241-EF28F140C5A5}</x:author>
  </x:authors>
  <x:commentList>
    <x:comment ref="N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Reference output throughput is 276.8 tok/s/GPU × TP8 = 2214.4 tok/s/system.</x:t>
        </x:r>
      </x:text>
    </x:comment>
    <x:comment ref="L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InferenceBench scripts/backends/sglang/single_node/interact_mode.bash defaults RANGE_RATIO to 0.8.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"/>
    <x:numFmt numFmtId="202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AFAFA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6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D0D7DE"/>
      </x:bottom>
    </x:border>
    <x:border>
      <x:top style="thin">
        <x:color rgb="FFD0D7DE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5" borderId="4" xfId="0" applyNumberFormat="1" applyFont="1" applyFill="1" applyBorder="1" applyAlignment="1">
      <x:alignment vertical="center"/>
    </x:xf>
    <x:xf numFmtId="202" fontId="0" fillId="5" borderId="2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/>
    <x:xf numFmtId="0" fontId="0" fillId="3" borderId="2" xfId="0" applyNumberFormat="1" applyFont="1" applyFill="1" applyBorder="1"/>
    <x:xf numFmtId="0" fontId="0" fillId="3" borderId="5" xfId="0" applyNumberFormat="1" applyFont="1" applyFill="1" applyBorder="1"/>
    <x:xf numFmtId="0" fontId="6" fillId="3" borderId="2" xfId="0" applyNumberFormat="1" applyFont="1" applyFill="1" applyBorder="1"/>
    <x:xf numFmtId="0" fontId="6" fillId="3" borderId="5" xfId="0" applyNumberFormat="1" applyFont="1" applyFill="1" applyBorder="1"/>
    <x:xf numFmtId="0" fontId="6" fillId="3" borderId="2" xfId="0" applyNumberFormat="1" applyFont="1" applyFill="1" applyBorder="1" applyAlignment="1">
      <x:alignment vertical="top"/>
    </x:xf>
    <x:xf numFmtId="0" fontId="6" fillId="3" borderId="5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c63b0ad7e4585" /><Relationship Type="http://schemas.openxmlformats.org/officeDocument/2006/relationships/theme" Target="/xl/theme/theme1.xml" Id="R9e757f047d334158" /><Relationship Type="http://schemas.openxmlformats.org/officeDocument/2006/relationships/sharedStrings" Target="/xl/sharedStrings.xml" Id="Rbc09363e86b542f2" /><Relationship Type="http://schemas.openxmlformats.org/officeDocument/2006/relationships/worksheet" Target="/xl/worksheets/sheet1.xml" Id="R5c5a412eead34580" /><Relationship Type="http://schemas.openxmlformats.org/officeDocument/2006/relationships/worksheet" Target="/xl/worksheets/sheet2.xml" Id="R492ec00e33bc4ba8" /><Relationship Type="http://schemas.openxmlformats.org/officeDocument/2006/relationships/worksheet" Target="/xl/worksheets/sheet3.xml" Id="R0ee59573af934ced" /><Relationship Type="http://schemas.microsoft.com/office/2017/10/relationships/person" Target="/xl/persons/person.xml" Id="R16984a6578024fbb" /></Relationships>
</file>

<file path=xl/persons/person.xml><?xml version="1.0" encoding="utf-8"?>
<xltc:personList xmlns:xltc="http://schemas.microsoft.com/office/spreadsheetml/2018/threadedcomments">
  <xltc:person displayName="Haoli" id="{4C70229F-17FB-425B-8E83-8105138EC4CC}"/>
</xltc:personList>
</file>

<file path=xl/tables/table1.xml><?xml version="1.0" encoding="utf-8"?>
<x:table xmlns:x="http://schemas.openxmlformats.org/spreadsheetml/2006/main" id="1" name="BenchmarkComparisons" displayName="BenchmarkComparisons" ref="A4:AE24" headerRowCount="1" totalsRowCount="0" totalsRowShown="0">
  <x:tableColumns count="31">
    <x:tableColumn id="1" name="Model"/>
    <x:tableColumn id="2" name="Status"/>
    <x:tableColumn id="3" name="Reference engine"/>
    <x:tableColumn id="4" name="Test engine"/>
    <x:tableColumn id="5" name="Precision"/>
    <x:tableColumn id="6" name="Reference KV"/>
    <x:tableColumn id="7" name="Test KV"/>
    <x:tableColumn id="8" name="TP"/>
    <x:tableColumn id="9" name="ISL"/>
    <x:tableColumn id="10" name="OSL"/>
    <x:tableColumn id="11" name="CONC"/>
    <x:tableColumn id="12" name="Reference ratio"/>
    <x:tableColumn id="13" name="Test ratio"/>
    <x:tableColumn id="14" name="Ref output tok/s"/>
    <x:tableColumn id="15" name="Test output tok/s"/>
    <x:tableColumn id="16" name="Output delta"/>
    <x:tableColumn id="17" name="Ref total tok/s"/>
    <x:tableColumn id="18" name="Test total tok/s"/>
    <x:tableColumn id="19" name="Total delta"/>
    <x:tableColumn id="20" name="Ref mean TTFT ms"/>
    <x:tableColumn id="21" name="Test mean TTFT ms"/>
    <x:tableColumn id="22" name="TTFT delta"/>
    <x:tableColumn id="23" name="Ref mean TPOT ms"/>
    <x:tableColumn id="24" name="Test mean TPOT ms"/>
    <x:tableColumn id="25" name="TPOT delta"/>
    <x:tableColumn id="26" name="Ref mean E2E ms"/>
    <x:tableColumn id="27" name="Test mean E2E ms"/>
    <x:tableColumn id="28" name="E2E delta"/>
    <x:tableColumn id="29" name="Interpretation"/>
    <x:tableColumn id="30" name="Reference source"/>
    <x:tableColumn id="31" name="Test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5" dT="2026-08-17T18:55:52.308" personId="{4C70229F-17FB-425B-8E83-8105138EC4CC}" id="{4180D226-4EDD-673F-9EEB-D4C8283073ED}">
    <xltc:text>Reference output throughput is 276.8 tok/s/GPU × TP8 = 2214.4 tok/s/system.</xltc:text>
  </xltc:threadedComment>
  <xltc:threadedComment ref="L5" dT="2026-08-17T18:55:52.309" personId="{4C70229F-17FB-425B-8E83-8105138EC4CC}" id="{C1C2E4E1-57F1-C488-8241-EF28F140C5A5}">
    <xltc:text>InferenceBench scripts/backends/sglang/single_node/interact_mode.bash defaults RANGE_RATIO to 0.8.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9a65a6ac0284383" /><Relationship Type="http://schemas.openxmlformats.org/officeDocument/2006/relationships/vmlDrawing" Target="/xl/drawings/vmldrawing.vml" Id="Rd9dbc3cae81847d1" /><Relationship Type="http://schemas.microsoft.com/office/2017/10/relationships/threadedComment" Target="/xl/threadedcomments/threadedcomment.xml" Id="Rcaf0eea9a2c645e3" /><Relationship Type="http://schemas.openxmlformats.org/officeDocument/2006/relationships/table" Target="/xl/tables/table1.xml" Id="Rf014dae663e2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2" customHeight="1">
      <x:c r="A1" s="42" t="str">
        <x:v>MI355X Benchmark Comparison Summary</x:v>
      </x:c>
      <x:c r="B1" s="42"/>
      <x:c r="C1" s="42"/>
      <x:c r="D1" s="42"/>
      <x:c r="E1" s="42"/>
      <x:c r="F1" s="42"/>
      <x:c r="G1" s="42"/>
    </x:row>
    <x:row r="3">
      <x:c r="A3" s="45" t="str">
        <x:v>Model</x:v>
      </x:c>
      <x:c r="B3" s="45" t="str">
        <x:v>Status</x:v>
      </x:c>
      <x:c r="C3" s="45" t="str">
        <x:v>Output delta</x:v>
      </x:c>
      <x:c r="D3" s="45" t="str">
        <x:v>Total delta</x:v>
      </x:c>
      <x:c r="E3" s="45" t="str">
        <x:v>TTFT delta</x:v>
      </x:c>
      <x:c r="F3" s="45" t="str">
        <x:v>TPOT delta</x:v>
      </x:c>
      <x:c r="G3" s="45" t="str">
        <x:v>E2E delta</x:v>
      </x:c>
    </x:row>
    <x:row r="4" ht="26" customHeight="1">
      <x:c r="A4" s="22" t="str">
        <x:f>'Comparisons'!A5</x:f>
        <x:v>DeepSeek-R1-MXFP4</x:v>
      </x:c>
      <x:c r="B4" s="22" t="str">
        <x:f>'Comparisons'!B5</x:f>
        <x:v>Needs aligned rerun</x:v>
      </x:c>
      <x:c r="C4" s="46" t="n">
        <x:f>IF('Comparisons'!P5="","",'Comparisons'!P5)</x:f>
        <x:v>0.1587518063583815</x:v>
      </x:c>
      <x:c r="D4" s="46" t="n">
        <x:f>IF('Comparisons'!S5="","",'Comparisons'!S5)</x:f>
        <x:v>0.16084645313065504</x:v>
      </x:c>
      <x:c r="E4" s="46" t="n">
        <x:f>IF('Comparisons'!V5="","",'Comparisons'!V5)</x:f>
        <x:v>3.003389167698625</x:v>
      </x:c>
      <x:c r="F4" s="46" t="n">
        <x:f>IF('Comparisons'!Y5="","",'Comparisons'!Y5)</x:f>
        <x:v>-0.14899713467048714</x:v>
      </x:c>
      <x:c r="G4" s="46" t="n">
        <x:f>IF('Comparisons'!AB5="","",'Comparisons'!AB5)</x:f>
        <x:v>-0.02088976486648153</x:v>
      </x:c>
    </x:row>
    <x:row r="5" ht="26" customHeight="1">
      <x:c r="A5" s="22" t="str">
        <x:f>'Comparisons'!A6</x:f>
        <x:v>Kimi-K2.6-MXFP4</x:v>
      </x:c>
      <x:c r="B5" s="22" t="str">
        <x:f>'Comparisons'!B6</x:f>
        <x:v>Passed</x:v>
      </x:c>
      <x:c r="C5" s="46" t="n">
        <x:f>IF('Comparisons'!P6="","",'Comparisons'!P6)</x:f>
        <x:v>0.18114610673665799</x:v>
      </x:c>
      <x:c r="D5" s="46" t="n">
        <x:f>IF('Comparisons'!S6="","",'Comparisons'!S6)</x:f>
        <x:v>0.18117423689206946</x:v>
      </x:c>
      <x:c r="E5" s="46" t="n">
        <x:f>IF('Comparisons'!V6="","",'Comparisons'!V6)</x:f>
        <x:v>-0.09430308489079031</x:v>
      </x:c>
      <x:c r="F5" s="46" t="n">
        <x:f>IF('Comparisons'!Y6="","",'Comparisons'!Y6)</x:f>
        <x:v>-0.15309734513274342</x:v>
      </x:c>
      <x:c r="G5" s="46" t="n">
        <x:f>IF('Comparisons'!AB6="","",'Comparisons'!AB6)</x:f>
        <x:v>-0.15245511486412489</x:v>
      </x:c>
    </x:row>
    <x:row r="6" ht="26" customHeight="1">
      <x:c r="A6" s="22" t="str">
        <x:f>'Comparisons'!A7</x:f>
        <x:v>Qwen3.5-397B-A17B-MXFP4</x:v>
      </x:c>
      <x:c r="B6" s="22" t="str">
        <x:f>'Comparisons'!B7</x:f>
        <x:v>Pending</x:v>
      </x:c>
      <x:c r="C6" s="46" t="str">
        <x:f>IF('Comparisons'!P7="","",'Comparisons'!P7)</x:f>
      </x:c>
      <x:c r="D6" s="46" t="str">
        <x:f>IF('Comparisons'!S7="","",'Comparisons'!S7)</x:f>
      </x:c>
      <x:c r="E6" s="46" t="str">
        <x:f>IF('Comparisons'!V7="","",'Comparisons'!V7)</x:f>
      </x:c>
      <x:c r="F6" s="46" t="str">
        <x:f>IF('Comparisons'!Y7="","",'Comparisons'!Y7)</x:f>
      </x:c>
      <x:c r="G6" s="46" t="str">
        <x:f>IF('Comparisons'!AB7="","",'Comparisons'!AB7)</x:f>
      </x:c>
    </x:row>
    <x:row r="7" ht="26" customHeight="1">
      <x:c r="A7" s="22" t="str">
        <x:f>'Comparisons'!A8</x:f>
        <x:v>Qwen3.5-397B-A17B-FP8</x:v>
      </x:c>
      <x:c r="B7" s="22" t="str">
        <x:f>'Comparisons'!B8</x:f>
        <x:v>Pending</x:v>
      </x:c>
      <x:c r="C7" s="46" t="str">
        <x:f>IF('Comparisons'!P8="","",'Comparisons'!P8)</x:f>
      </x:c>
      <x:c r="D7" s="46" t="str">
        <x:f>IF('Comparisons'!S8="","",'Comparisons'!S8)</x:f>
      </x:c>
      <x:c r="E7" s="46" t="str">
        <x:f>IF('Comparisons'!V8="","",'Comparisons'!V8)</x:f>
      </x:c>
      <x:c r="F7" s="46" t="str">
        <x:f>IF('Comparisons'!Y8="","",'Comparisons'!Y8)</x:f>
      </x:c>
      <x:c r="G7" s="46" t="str">
        <x:f>IF('Comparisons'!AB8="","",'Comparisons'!AB8)</x:f>
      </x:c>
    </x:row>
    <x:row r="8" ht="26" customHeight="1">
      <x:c r="A8" s="22" t="str">
        <x:f>'Comparisons'!A9</x:f>
        <x:v>GLM-5.1-MXFP4</x:v>
      </x:c>
      <x:c r="B8" s="22" t="str">
        <x:f>'Comparisons'!B9</x:f>
        <x:v>Pending</x:v>
      </x:c>
      <x:c r="C8" s="46" t="str">
        <x:f>IF('Comparisons'!P9="","",'Comparisons'!P9)</x:f>
      </x:c>
      <x:c r="D8" s="46" t="str">
        <x:f>IF('Comparisons'!S9="","",'Comparisons'!S9)</x:f>
      </x:c>
      <x:c r="E8" s="46" t="str">
        <x:f>IF('Comparisons'!V9="","",'Comparisons'!V9)</x:f>
      </x:c>
      <x:c r="F8" s="46" t="str">
        <x:f>IF('Comparisons'!Y9="","",'Comparisons'!Y9)</x:f>
      </x:c>
      <x:c r="G8" s="46" t="str">
        <x:f>IF('Comparisons'!AB9="","",'Comparisons'!AB9)</x:f>
      </x:c>
    </x:row>
    <x:row r="9" ht="26" customHeight="1">
      <x:c r="A9" s="22" t="str">
        <x:f>'Comparisons'!A10</x:f>
        <x:v>GLM-5.1-FP8</x:v>
      </x:c>
      <x:c r="B9" s="22" t="str">
        <x:f>'Comparisons'!B10</x:f>
        <x:v>Pending</x:v>
      </x:c>
      <x:c r="C9" s="46" t="str">
        <x:f>IF('Comparisons'!P10="","",'Comparisons'!P10)</x:f>
      </x:c>
      <x:c r="D9" s="46" t="str">
        <x:f>IF('Comparisons'!S10="","",'Comparisons'!S10)</x:f>
      </x:c>
      <x:c r="E9" s="46" t="str">
        <x:f>IF('Comparisons'!V10="","",'Comparisons'!V10)</x:f>
      </x:c>
      <x:c r="F9" s="46" t="str">
        <x:f>IF('Comparisons'!Y10="","",'Comparisons'!Y10)</x:f>
      </x:c>
      <x:c r="G9" s="46" t="str">
        <x:f>IF('Comparisons'!AB10="","",'Comparisons'!AB10)</x:f>
      </x:c>
    </x:row>
    <x:row r="10" ht="26" customHeight="1">
      <x:c r="A10" s="22" t="str">
        <x:f>'Comparisons'!A11</x:f>
        <x:v>MiniMax-M2.5-MXFP4</x:v>
      </x:c>
      <x:c r="B10" s="22" t="str">
        <x:f>'Comparisons'!B11</x:f>
        <x:v>Pending</x:v>
      </x:c>
      <x:c r="C10" s="46" t="str">
        <x:f>IF('Comparisons'!P11="","",'Comparisons'!P11)</x:f>
      </x:c>
      <x:c r="D10" s="46" t="str">
        <x:f>IF('Comparisons'!S11="","",'Comparisons'!S11)</x:f>
      </x:c>
      <x:c r="E10" s="46" t="str">
        <x:f>IF('Comparisons'!V11="","",'Comparisons'!V11)</x:f>
      </x:c>
      <x:c r="F10" s="46" t="str">
        <x:f>IF('Comparisons'!Y11="","",'Comparisons'!Y11)</x:f>
      </x:c>
      <x:c r="G10" s="46" t="str">
        <x:f>IF('Comparisons'!AB11="","",'Comparisons'!AB11)</x:f>
      </x:c>
    </x:row>
    <x:row r="11" ht="26" customHeight="1">
      <x:c r="A11" s="23" t="str">
        <x:f>'Comparisons'!A12</x:f>
        <x:v>MiniMax-M2.5-FP8</x:v>
      </x:c>
      <x:c r="B11" s="23" t="str">
        <x:f>'Comparisons'!B12</x:f>
        <x:v>Pending</x:v>
      </x:c>
      <x:c r="C11" s="47" t="str">
        <x:f>IF('Comparisons'!P12="","",'Comparisons'!P12)</x:f>
      </x:c>
      <x:c r="D11" s="47" t="str">
        <x:f>IF('Comparisons'!S12="","",'Comparisons'!S12)</x:f>
      </x:c>
      <x:c r="E11" s="47" t="str">
        <x:f>IF('Comparisons'!V12="","",'Comparisons'!V12)</x:f>
      </x:c>
      <x:c r="F11" s="47" t="str">
        <x:f>IF('Comparisons'!Y12="","",'Comparisons'!Y12)</x:f>
      </x:c>
      <x:c r="G11" s="47" t="str">
        <x:f>IF('Comparisons'!AB12="","",'Comparisons'!AB12)</x:f>
      </x:c>
    </x:row>
    <x:row r="13">
      <x:c r="A13" s="49" t="str">
        <x:v>Current TTFT assessment</x:v>
      </x:c>
      <x:c r="B13" s="49"/>
      <x:c r="C13" s="49"/>
      <x:c r="D13" s="49"/>
      <x:c r="E13" s="49"/>
      <x:c r="F13" s="49"/>
      <x:c r="G13" s="49"/>
    </x:row>
    <x:row r="14" ht="28" customHeight="1">
      <x:c r="A14" s="52" t="str">
        <x:v>Kimi K2.6 completed with aligned RANGE_RATIO=0.8: TTFT improved from 222.05 ms to 201.11 ms (-9.4%). The earlier DSR1 TTFT result remains provisional because that run used RANGE_RATIO=1.0; its aligned 0.8 rerun is now in progress.</x:v>
      </x:c>
      <x:c r="B14" s="52"/>
      <x:c r="C14" s="52"/>
      <x:c r="D14" s="52"/>
      <x:c r="E14" s="52"/>
      <x:c r="F14" s="52"/>
      <x:c r="G14" s="52"/>
    </x:row>
    <x:row r="15" ht="28" customHeight="1">
      <x:c r="A15" s="52"/>
      <x:c r="B15" s="52"/>
      <x:c r="C15" s="52"/>
      <x:c r="D15" s="52"/>
      <x:c r="E15" s="52"/>
      <x:c r="F15" s="52"/>
      <x:c r="G15" s="52"/>
    </x:row>
    <x:row r="16" ht="28" customHeight="1">
      <x:c r="A16" s="52"/>
      <x:c r="B16" s="52"/>
      <x:c r="C16" s="52"/>
      <x:c r="D16" s="52"/>
      <x:c r="E16" s="52"/>
      <x:c r="F16" s="52"/>
      <x:c r="G16" s="52"/>
    </x:row>
  </x:sheetData>
  <x:mergeCells>
    <x:mergeCell ref="A1:G1"/>
    <x:mergeCell ref="A13:G13"/>
    <x:mergeCell ref="A14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3" hidden="0" customWidth="1"/>
    <x:col min="4" max="4" width="20" hidden="0" customWidth="1"/>
    <x:col min="5" max="5" width="11" hidden="0" customWidth="1"/>
    <x:col min="6" max="6" width="14" hidden="0" customWidth="1"/>
    <x:col min="7" max="7" width="14" hidden="0" customWidth="1"/>
    <x:col min="8" max="8" width="7" hidden="0" customWidth="1"/>
    <x:col min="9" max="9" width="9" hidden="0" customWidth="1"/>
    <x:col min="10" max="10" width="9" hidden="0" customWidth="1"/>
    <x:col min="11" max="11" width="9" hidden="0" customWidth="1"/>
    <x:col min="12" max="12" width="13" hidden="0" customWidth="1"/>
    <x:col min="13" max="13" width="11" hidden="0" customWidth="1"/>
    <x:col min="14" max="14" width="15" hidden="0" customWidth="1"/>
    <x:col min="15" max="15" width="15" hidden="0" customWidth="1"/>
    <x:col min="16" max="16" width="12" hidden="0" customWidth="1"/>
    <x:col min="17" max="17" width="15" hidden="0" customWidth="1"/>
    <x:col min="18" max="18" width="15" hidden="0" customWidth="1"/>
    <x:col min="19" max="19" width="12" hidden="0" customWidth="1"/>
    <x:col min="20" max="20" width="16" hidden="0" customWidth="1"/>
    <x:col min="21" max="21" width="16" hidden="0" customWidth="1"/>
    <x:col min="22" max="22" width="12" hidden="0" customWidth="1"/>
    <x:col min="23" max="23" width="16" hidden="0" customWidth="1"/>
    <x:col min="24" max="24" width="16" hidden="0" customWidth="1"/>
    <x:col min="25" max="25" width="12" hidden="0" customWidth="1"/>
    <x:col min="26" max="26" width="16" hidden="0" customWidth="1"/>
    <x:col min="27" max="27" width="16" hidden="0" customWidth="1"/>
    <x:col min="28" max="28" width="12" hidden="0" customWidth="1"/>
    <x:col min="29" max="29" width="22" hidden="0" customWidth="1"/>
    <x:col min="30" max="30" width="50" hidden="0" customWidth="1"/>
    <x:col min="31" max="31" width="52" hidden="0" customWidth="1"/>
  </x:cols>
  <x:sheetData>
    <x:row r="1" ht="30" customHeight="1">
      <x:c r="A1" s="3" t="str">
        <x:v>MI355X SGLang Benchmark Comparison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2" ht="30" customHeight="1">
      <x:c r="A2" s="6" t="str">
        <x:v>Reference = InferenceBench result files. Test = Magpie-launched SGLang. Throughput: positive delta is better; latency: negative delta is better.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</x:row>
    <x:row r="4" ht="42" customHeight="1">
      <x:c r="A4" s="18" t="str">
        <x:v>Model</x:v>
      </x:c>
      <x:c r="B4" s="19" t="str">
        <x:v>Status</x:v>
      </x:c>
      <x:c r="C4" s="19" t="str">
        <x:v>Reference engine</x:v>
      </x:c>
      <x:c r="D4" s="19" t="str">
        <x:v>Test engine</x:v>
      </x:c>
      <x:c r="E4" s="19" t="str">
        <x:v>Precision</x:v>
      </x:c>
      <x:c r="F4" s="19" t="str">
        <x:v>Reference KV</x:v>
      </x:c>
      <x:c r="G4" s="19" t="str">
        <x:v>Test KV</x:v>
      </x:c>
      <x:c r="H4" s="19" t="str">
        <x:v>TP</x:v>
      </x:c>
      <x:c r="I4" s="19" t="str">
        <x:v>ISL</x:v>
      </x:c>
      <x:c r="J4" s="19" t="str">
        <x:v>OSL</x:v>
      </x:c>
      <x:c r="K4" s="19" t="str">
        <x:v>CONC</x:v>
      </x:c>
      <x:c r="L4" s="19" t="str">
        <x:v>Reference ratio</x:v>
      </x:c>
      <x:c r="M4" s="19" t="str">
        <x:v>Test ratio</x:v>
      </x:c>
      <x:c r="N4" s="19" t="str">
        <x:v>Ref output tok/s</x:v>
      </x:c>
      <x:c r="O4" s="19" t="str">
        <x:v>Test output tok/s</x:v>
      </x:c>
      <x:c r="P4" s="19" t="str">
        <x:v>Output delta</x:v>
      </x:c>
      <x:c r="Q4" s="19" t="str">
        <x:v>Ref total tok/s</x:v>
      </x:c>
      <x:c r="R4" s="19" t="str">
        <x:v>Test total tok/s</x:v>
      </x:c>
      <x:c r="S4" s="19" t="str">
        <x:v>Total delta</x:v>
      </x:c>
      <x:c r="T4" s="19" t="str">
        <x:v>Ref mean TTFT ms</x:v>
      </x:c>
      <x:c r="U4" s="19" t="str">
        <x:v>Test mean TTFT ms</x:v>
      </x:c>
      <x:c r="V4" s="19" t="str">
        <x:v>TTFT delta</x:v>
      </x:c>
      <x:c r="W4" s="19" t="str">
        <x:v>Ref mean TPOT ms</x:v>
      </x:c>
      <x:c r="X4" s="19" t="str">
        <x:v>Test mean TPOT ms</x:v>
      </x:c>
      <x:c r="Y4" s="19" t="str">
        <x:v>TPOT delta</x:v>
      </x:c>
      <x:c r="Z4" s="19" t="str">
        <x:v>Ref mean E2E ms</x:v>
      </x:c>
      <x:c r="AA4" s="19" t="str">
        <x:v>Test mean E2E ms</x:v>
      </x:c>
      <x:c r="AB4" s="19" t="str">
        <x:v>E2E delta</x:v>
      </x:c>
      <x:c r="AC4" s="19" t="str">
        <x:v>Interpretation</x:v>
      </x:c>
      <x:c r="AD4" s="19" t="str">
        <x:v>Reference source</x:v>
      </x:c>
      <x:c r="AE4" s="20" t="str">
        <x:v>Test result</x:v>
      </x:c>
    </x:row>
    <x:row r="5" ht="34" customHeight="1">
      <x:c r="A5" s="27" t="str">
        <x:v>DeepSeek-R1-MXFP4</x:v>
      </x:c>
      <x:c r="B5" s="27" t="str">
        <x:v>Needs aligned rerun</x:v>
      </x:c>
      <x:c r="C5" s="27" t="str">
        <x:v>SGLang / InferenceBench</x:v>
      </x:c>
      <x:c r="D5" s="27" t="str">
        <x:v>SGLang / Magpie</x:v>
      </x:c>
      <x:c r="E5" s="27" t="str">
        <x:v>MXFP4</x:v>
      </x:c>
      <x:c r="F5" s="27" t="str">
        <x:v>fp8_e4m3</x:v>
      </x:c>
      <x:c r="G5" s="27" t="str">
        <x:v>fp8_e4m3</x:v>
      </x:c>
      <x:c r="H5" s="27" t="n">
        <x:v>8</x:v>
      </x:c>
      <x:c r="I5" s="27" t="n">
        <x:v>1024</x:v>
      </x:c>
      <x:c r="J5" s="27" t="n">
        <x:v>1024</x:v>
      </x:c>
      <x:c r="K5" s="27" t="n">
        <x:v>32</x:v>
      </x:c>
      <x:c r="L5" s="36" t="n">
        <x:v>0.8</x:v>
      </x:c>
      <x:c r="M5" s="36" t="n">
        <x:v>1</x:v>
      </x:c>
      <x:c r="N5" s="33" t="n">
        <x:v>2214.4</x:v>
      </x:c>
      <x:c r="O5" s="33" t="n">
        <x:v>2565.94</x:v>
      </x:c>
      <x:c r="P5" s="30" t="n">
        <x:f>IF(OR(N5="",O5=""),"",O5/N5-1)</x:f>
        <x:v>0.1587518063583815</x:v>
      </x:c>
      <x:c r="Q5" s="33" t="n">
        <x:v>4420.8</x:v>
      </x:c>
      <x:c r="R5" s="33" t="n">
        <x:v>5131.87</x:v>
      </x:c>
      <x:c r="S5" s="30" t="n">
        <x:f>IF(OR(Q5="",R5=""),"",R5/Q5-1)</x:f>
        <x:v>0.16084645313065504</x:v>
      </x:c>
      <x:c r="T5" s="33" t="n">
        <x:v>153.43</x:v>
      </x:c>
      <x:c r="U5" s="33" t="n">
        <x:v>614.24</x:v>
      </x:c>
      <x:c r="V5" s="30" t="n">
        <x:f>IF(OR(T5="",U5=""),"",U5/T5-1)</x:f>
        <x:v>3.003389167698625</x:v>
      </x:c>
      <x:c r="W5" s="33" t="n">
        <x:v>13.96</x:v>
      </x:c>
      <x:c r="X5" s="33" t="n">
        <x:v>11.88</x:v>
      </x:c>
      <x:c r="Y5" s="30" t="n">
        <x:f>IF(OR(W5="",X5=""),"",X5/W5-1)</x:f>
        <x:v>-0.14899713467048714</x:v>
      </x:c>
      <x:c r="Z5" s="33" t="n">
        <x:v>13039.4</x:v>
      </x:c>
      <x:c r="AA5" s="33" t="n">
        <x:v>12767.01</x:v>
      </x:c>
      <x:c r="AB5" s="30" t="n">
        <x:f>IF(OR(Z5="",AA5=""),"",AA5/Z5-1)</x:f>
        <x:v>-0.02088976486648153</x:v>
      </x:c>
      <x:c r="AC5" s="39" t="str">
        <x:f>IF(A5="","",IF(B5&lt;&gt;"Passed",B5,IF(AND(L5&lt;&gt;"",M5&lt;&gt;"",L5&lt;&gt;M5),"Workload mismatch",IF(AND(P5&gt;0,Y5&lt;0,AB5&lt;0),"Improved","Mixed result"))))</x:f>
        <x:v>Needs aligned rerun</x:v>
      </x:c>
      <x:c r="AD5" s="39" t="str">
        <x:v>/Users/haoli/Downloads/Single Node/DSR1/dsr1_benchmark_20260615.xlsx | isl1k_osl1k!A16:N16</x:v>
      </x:c>
      <x:c r="AE5" s="39" t="str">
        <x:v>/data/haoli103/magpie_sglang_smoke_20260817/results/benchmark_sglang_20260817_175532</x:v>
      </x:c>
    </x:row>
    <x:row r="6" ht="34" customHeight="1">
      <x:c r="A6" s="28" t="str">
        <x:v>Kimi-K2.6-MXFP4</x:v>
      </x:c>
      <x:c r="B6" s="28" t="str">
        <x:v>Passed</x:v>
      </x:c>
      <x:c r="C6" s="28" t="str">
        <x:v>vLLM / InferenceBench</x:v>
      </x:c>
      <x:c r="D6" s="28" t="str">
        <x:v>SGLang / Magpie</x:v>
      </x:c>
      <x:c r="E6" s="28" t="str">
        <x:v>MXFP4</x:v>
      </x:c>
      <x:c r="F6" s="28" t="str">
        <x:v>fp8</x:v>
      </x:c>
      <x:c r="G6" s="28" t="str">
        <x:v>fp8_e4m3</x:v>
      </x:c>
      <x:c r="H6" s="28" t="n">
        <x:v>4</x:v>
      </x:c>
      <x:c r="I6" s="28" t="n">
        <x:v>1024</x:v>
      </x:c>
      <x:c r="J6" s="28" t="n">
        <x:v>1024</x:v>
      </x:c>
      <x:c r="K6" s="28" t="n">
        <x:v>32</x:v>
      </x:c>
      <x:c r="L6" s="37" t="n">
        <x:v>0.8</x:v>
      </x:c>
      <x:c r="M6" s="37" t="n">
        <x:v>0.8</x:v>
      </x:c>
      <x:c r="N6" s="34" t="n">
        <x:v>1371.6</x:v>
      </x:c>
      <x:c r="O6" s="34" t="n">
        <x:v>1620.06</x:v>
      </x:c>
      <x:c r="P6" s="31" t="n">
        <x:f>IF(OR(N6="",O6=""),"",O6/N6-1)</x:f>
        <x:v>0.18114610673665799</x:v>
      </x:c>
      <x:c r="Q6" s="34" t="n">
        <x:v>2738.8</x:v>
      </x:c>
      <x:c r="R6" s="34" t="n">
        <x:v>3235</x:v>
      </x:c>
      <x:c r="S6" s="31" t="n">
        <x:f>IF(OR(Q6="",R6=""),"",R6/Q6-1)</x:f>
        <x:v>0.18117423689206946</x:v>
      </x:c>
      <x:c r="T6" s="34" t="n">
        <x:v>222.05</x:v>
      </x:c>
      <x:c r="U6" s="34" t="n">
        <x:v>201.11</x:v>
      </x:c>
      <x:c r="V6" s="31" t="n">
        <x:f>IF(OR(T6="",U6=""),"",U6/T6-1)</x:f>
        <x:v>-0.09430308489079031</x:v>
      </x:c>
      <x:c r="W6" s="34" t="n">
        <x:v>22.6</x:v>
      </x:c>
      <x:c r="X6" s="34" t="n">
        <x:v>19.14</x:v>
      </x:c>
      <x:c r="Y6" s="31" t="n">
        <x:f>IF(OR(W6="",X6=""),"",X6/W6-1)</x:f>
        <x:v>-0.15309734513274342</x:v>
      </x:c>
      <x:c r="Z6" s="34" t="n">
        <x:v>21088.83</x:v>
      </x:c>
      <x:c r="AA6" s="34" t="n">
        <x:v>17873.73</x:v>
      </x:c>
      <x:c r="AB6" s="31" t="n">
        <x:f>IF(OR(Z6="",AA6=""),"",AA6/Z6-1)</x:f>
        <x:v>-0.15245511486412489</x:v>
      </x:c>
      <x:c r="AC6" s="40" t="str">
        <x:f>IF(A6="","",IF(B6&lt;&gt;"Passed",B6,IF(AND(L6&lt;&gt;"",M6&lt;&gt;"",L6&lt;&gt;M6),"Workload mismatch",IF(AND(P6&gt;0,Y6&lt;0,AB6&lt;0),"Improved","Mixed result"))))</x:f>
        <x:v>Improved</x:v>
      </x:c>
      <x:c r="AD6" s="40" t="str">
        <x:v>/Users/haoli/Downloads/Single Node/KimiK2.6/kimi_benchmark_20260615.xlsx | isl1k_osl1k!A7:N7</x:v>
      </x:c>
      <x:c r="AE6" s="40" t="str">
        <x:v>/data/haoli103/magpie_sglang_smoke_20260817/results/benchmark_sglang_20260817_184425</x:v>
      </x:c>
    </x:row>
    <x:row r="7" ht="34" customHeight="1">
      <x:c r="A7" s="28" t="str">
        <x:v>Qwen3.5-397B-A17B-MXFP4</x:v>
      </x:c>
      <x:c r="B7" s="28" t="str">
        <x:v>Pending</x:v>
      </x:c>
      <x:c r="C7" s="28" t="str">
        <x:v>SGLang / InferenceBench</x:v>
      </x:c>
      <x:c r="D7" s="28" t="str">
        <x:v>SGLang / Magpie</x:v>
      </x:c>
      <x:c r="E7" s="28" t="str">
        <x:v>MXFP4</x:v>
      </x:c>
      <x:c r="F7" s="28" t="str">
        <x:v>auto</x:v>
      </x:c>
      <x:c r="G7" s="28" t="str">
        <x:v>fp8_e4m3</x:v>
      </x:c>
      <x:c r="H7" s="28" t="n">
        <x:v>4</x:v>
      </x:c>
      <x:c r="I7" s="28" t="n">
        <x:v>1024</x:v>
      </x:c>
      <x:c r="J7" s="28" t="n">
        <x:v>1024</x:v>
      </x:c>
      <x:c r="K7" s="28" t="n">
        <x:v>32</x:v>
      </x:c>
      <x:c r="L7" s="37"/>
      <x:c r="M7" s="37" t="n">
        <x:v>0.8</x:v>
      </x:c>
      <x:c r="N7" s="34" t="n">
        <x:v>2527.2</x:v>
      </x:c>
      <x:c r="O7" s="34"/>
      <x:c r="P7" s="31" t="str">
        <x:f>IF(OR(N7="",O7=""),"",O7/N7-1)</x:f>
      </x:c>
      <x:c r="Q7" s="34" t="n">
        <x:v>5054.8</x:v>
      </x:c>
      <x:c r="R7" s="34"/>
      <x:c r="S7" s="31" t="str">
        <x:f>IF(OR(Q7="",R7=""),"",R7/Q7-1)</x:f>
      </x:c>
      <x:c r="T7" s="34" t="n">
        <x:v>602.48</x:v>
      </x:c>
      <x:c r="U7" s="34"/>
      <x:c r="V7" s="31" t="str">
        <x:f>IF(OR(T7="",U7=""),"",U7/T7-1)</x:f>
      </x:c>
      <x:c r="W7" s="34" t="n">
        <x:v>12.08</x:v>
      </x:c>
      <x:c r="X7" s="34"/>
      <x:c r="Y7" s="31" t="str">
        <x:f>IF(OR(W7="",X7=""),"",X7/W7-1)</x:f>
      </x:c>
      <x:c r="Z7" s="34" t="n">
        <x:v>12962.19</x:v>
      </x:c>
      <x:c r="AA7" s="34"/>
      <x:c r="AB7" s="31" t="str">
        <x:f>IF(OR(Z7="",AA7=""),"",AA7/Z7-1)</x:f>
      </x:c>
      <x:c r="AC7" s="40" t="str">
        <x:f>IF(A7="","",IF(B7&lt;&gt;"Passed",B7,IF(AND(L7&lt;&gt;"",M7&lt;&gt;"",L7&lt;&gt;M7),"Workload mismatch",IF(AND(P7&gt;0,Y7&lt;0,AB7&lt;0),"Improved","Mixed result"))))</x:f>
        <x:v>Pending</x:v>
      </x:c>
      <x:c r="AD7" s="40" t="str">
        <x:v>/Users/haoli/Downloads/Single Node/Qwen3.5-397B-A17B/qwen3.5-397b-a17b_TP4_fp4.xlsx | isl1k_osl1k!A7:N7</x:v>
      </x:c>
      <x:c r="AE7" s="40"/>
    </x:row>
    <x:row r="8" ht="34" customHeight="1">
      <x:c r="A8" s="28" t="str">
        <x:v>Qwen3.5-397B-A17B-FP8</x:v>
      </x:c>
      <x:c r="B8" s="28" t="str">
        <x:v>Pending</x:v>
      </x:c>
      <x:c r="C8" s="28" t="str">
        <x:v>SGLang / InferenceBench</x:v>
      </x:c>
      <x:c r="D8" s="28" t="str">
        <x:v>SGLang / Magpie</x:v>
      </x:c>
      <x:c r="E8" s="28" t="str">
        <x:v>FP8</x:v>
      </x:c>
      <x:c r="F8" s="28" t="str">
        <x:v>auto</x:v>
      </x:c>
      <x:c r="G8" s="28" t="str">
        <x:v>fp8_e4m3</x:v>
      </x:c>
      <x:c r="H8" s="28" t="n">
        <x:v>4</x:v>
      </x:c>
      <x:c r="I8" s="28" t="n">
        <x:v>1024</x:v>
      </x:c>
      <x:c r="J8" s="28" t="n">
        <x:v>1024</x:v>
      </x:c>
      <x:c r="K8" s="28" t="n">
        <x:v>32</x:v>
      </x:c>
      <x:c r="L8" s="37"/>
      <x:c r="M8" s="37" t="n">
        <x:v>0.8</x:v>
      </x:c>
      <x:c r="N8" s="34" t="n">
        <x:v>2124.8</x:v>
      </x:c>
      <x:c r="O8" s="34"/>
      <x:c r="P8" s="31" t="str">
        <x:f>IF(OR(N8="",O8=""),"",O8/N8-1)</x:f>
      </x:c>
      <x:c r="Q8" s="34" t="n">
        <x:v>4249.6</x:v>
      </x:c>
      <x:c r="R8" s="34"/>
      <x:c r="S8" s="31" t="str">
        <x:f>IF(OR(Q8="",R8=""),"",R8/Q8-1)</x:f>
      </x:c>
      <x:c r="T8" s="34" t="n">
        <x:v>565.81</x:v>
      </x:c>
      <x:c r="U8" s="34"/>
      <x:c r="V8" s="31" t="str">
        <x:f>IF(OR(T8="",U8=""),"",U8/T8-1)</x:f>
      </x:c>
      <x:c r="W8" s="34" t="n">
        <x:v>14.52</x:v>
      </x:c>
      <x:c r="X8" s="34"/>
      <x:c r="Y8" s="31" t="str">
        <x:f>IF(OR(W8="",X8=""),"",X8/W8-1)</x:f>
      </x:c>
      <x:c r="Z8" s="34" t="n">
        <x:v>15416.02</x:v>
      </x:c>
      <x:c r="AA8" s="34"/>
      <x:c r="AB8" s="31" t="str">
        <x:f>IF(OR(Z8="",AA8=""),"",AA8/Z8-1)</x:f>
      </x:c>
      <x:c r="AC8" s="40" t="str">
        <x:f>IF(A8="","",IF(B8&lt;&gt;"Passed",B8,IF(AND(L8&lt;&gt;"",M8&lt;&gt;"",L8&lt;&gt;M8),"Workload mismatch",IF(AND(P8&gt;0,Y8&lt;0,AB8&lt;0),"Improved","Mixed result"))))</x:f>
        <x:v>Pending</x:v>
      </x:c>
      <x:c r="AD8" s="40" t="str">
        <x:v>/Users/haoli/Downloads/Single Node/Qwen3.5-397B-A17B/qwen3.5-397b-a17b_TP4_fp8.xlsx | isl1k_osl1k!A7:N7</x:v>
      </x:c>
      <x:c r="AE8" s="40"/>
    </x:row>
    <x:row r="9" ht="34" customHeight="1">
      <x:c r="A9" s="28" t="str">
        <x:v>GLM-5.1-MXFP4</x:v>
      </x:c>
      <x:c r="B9" s="28" t="str">
        <x:v>Pending</x:v>
      </x:c>
      <x:c r="C9" s="28" t="str">
        <x:v>SGLang / InferenceBench</x:v>
      </x:c>
      <x:c r="D9" s="28" t="str">
        <x:v>SGLang / Magpie</x:v>
      </x:c>
      <x:c r="E9" s="28" t="str">
        <x:v>MXFP4</x:v>
      </x:c>
      <x:c r="F9" s="28" t="str">
        <x:v>fp8_e4m3</x:v>
      </x:c>
      <x:c r="G9" s="28" t="str">
        <x:v>fp8_e4m3</x:v>
      </x:c>
      <x:c r="H9" s="28" t="n">
        <x:v>4</x:v>
      </x:c>
      <x:c r="I9" s="28" t="n">
        <x:v>1024</x:v>
      </x:c>
      <x:c r="J9" s="28" t="n">
        <x:v>1024</x:v>
      </x:c>
      <x:c r="K9" s="28" t="n">
        <x:v>32</x:v>
      </x:c>
      <x:c r="L9" s="37"/>
      <x:c r="M9" s="37" t="n">
        <x:v>0.8</x:v>
      </x:c>
      <x:c r="N9" s="34" t="n">
        <x:v>1151.24</x:v>
      </x:c>
      <x:c r="O9" s="34"/>
      <x:c r="P9" s="31" t="str">
        <x:f>IF(OR(N9="",O9=""),"",O9/N9-1)</x:f>
      </x:c>
      <x:c r="Q9" s="34" t="n">
        <x:v>2302.52</x:v>
      </x:c>
      <x:c r="R9" s="34"/>
      <x:c r="S9" s="31" t="str">
        <x:f>IF(OR(Q9="",R9=""),"",R9/Q9-1)</x:f>
      </x:c>
      <x:c r="T9" s="34" t="n">
        <x:v>1431.73</x:v>
      </x:c>
      <x:c r="U9" s="34"/>
      <x:c r="V9" s="31" t="str">
        <x:f>IF(OR(T9="",U9=""),"",U9/T9-1)</x:f>
      </x:c>
      <x:c r="W9" s="34" t="n">
        <x:v>26.42</x:v>
      </x:c>
      <x:c r="X9" s="34"/>
      <x:c r="Y9" s="31" t="str">
        <x:f>IF(OR(W9="",X9=""),"",X9/W9-1)</x:f>
      </x:c>
      <x:c r="Z9" s="34" t="n">
        <x:v>28459.53</x:v>
      </x:c>
      <x:c r="AA9" s="34"/>
      <x:c r="AB9" s="31" t="str">
        <x:f>IF(OR(Z9="",AA9=""),"",AA9/Z9-1)</x:f>
      </x:c>
      <x:c r="AC9" s="40" t="str">
        <x:f>IF(A9="","",IF(B9&lt;&gt;"Passed",B9,IF(AND(L9&lt;&gt;"",M9&lt;&gt;"",L9&lt;&gt;M9),"Workload mismatch",IF(AND(P9&gt;0,Y9&lt;0,AB9&lt;0),"Improved","Mixed result"))))</x:f>
        <x:v>Pending</x:v>
      </x:c>
      <x:c r="AD9" s="40" t="str">
        <x:v>/Users/haoli/Downloads/Single Node/GLM5.1/glm-5.1_TP4_mxfp4_interactivity.xlsx | isl1k_osl1k!A7:N7</x:v>
      </x:c>
      <x:c r="AE9" s="40"/>
    </x:row>
    <x:row r="10" ht="34" customHeight="1">
      <x:c r="A10" s="28" t="str">
        <x:v>GLM-5.1-FP8</x:v>
      </x:c>
      <x:c r="B10" s="28" t="str">
        <x:v>Pending</x:v>
      </x:c>
      <x:c r="C10" s="28" t="str">
        <x:v>SGLang / InferenceBench</x:v>
      </x:c>
      <x:c r="D10" s="28" t="str">
        <x:v>SGLang / Magpie</x:v>
      </x:c>
      <x:c r="E10" s="28" t="str">
        <x:v>FP8</x:v>
      </x:c>
      <x:c r="F10" s="28"/>
      <x:c r="G10" s="28" t="str">
        <x:v>fp8_e4m3</x:v>
      </x:c>
      <x:c r="H10" s="28" t="n">
        <x:v>4</x:v>
      </x:c>
      <x:c r="I10" s="28" t="n">
        <x:v>1024</x:v>
      </x:c>
      <x:c r="J10" s="28" t="n">
        <x:v>1024</x:v>
      </x:c>
      <x:c r="K10" s="28" t="n">
        <x:v>32</x:v>
      </x:c>
      <x:c r="L10" s="37"/>
      <x:c r="M10" s="37" t="n">
        <x:v>0.8</x:v>
      </x:c>
      <x:c r="N10" s="34"/>
      <x:c r="O10" s="34"/>
      <x:c r="P10" s="31" t="str">
        <x:f>IF(OR(N10="",O10=""),"",O10/N10-1)</x:f>
      </x:c>
      <x:c r="Q10" s="34"/>
      <x:c r="R10" s="34"/>
      <x:c r="S10" s="31" t="str">
        <x:f>IF(OR(Q10="",R10=""),"",R10/Q10-1)</x:f>
      </x:c>
      <x:c r="T10" s="34"/>
      <x:c r="U10" s="34"/>
      <x:c r="V10" s="31" t="str">
        <x:f>IF(OR(T10="",U10=""),"",U10/T10-1)</x:f>
      </x:c>
      <x:c r="W10" s="34"/>
      <x:c r="X10" s="34"/>
      <x:c r="Y10" s="31" t="str">
        <x:f>IF(OR(W10="",X10=""),"",X10/W10-1)</x:f>
      </x:c>
      <x:c r="Z10" s="34"/>
      <x:c r="AA10" s="34"/>
      <x:c r="AB10" s="31" t="str">
        <x:f>IF(OR(Z10="",AA10=""),"",AA10/Z10-1)</x:f>
      </x:c>
      <x:c r="AC10" s="40" t="str">
        <x:f>IF(A10="","",IF(B10&lt;&gt;"Passed",B10,IF(AND(L10&lt;&gt;"",M10&lt;&gt;"",L10&lt;&gt;M10),"Workload mismatch",IF(AND(P10&gt;0,Y10&lt;0,AB10&lt;0),"Improved","Mixed result"))))</x:f>
        <x:v>Pending</x:v>
      </x:c>
      <x:c r="AD10" s="40" t="str">
        <x:v>Reference row not yet located</x:v>
      </x:c>
      <x:c r="AE10" s="40"/>
    </x:row>
    <x:row r="11" ht="34" customHeight="1">
      <x:c r="A11" s="28" t="str">
        <x:v>MiniMax-M2.5-MXFP4</x:v>
      </x:c>
      <x:c r="B11" s="28" t="str">
        <x:v>Pending</x:v>
      </x:c>
      <x:c r="C11" s="28" t="str">
        <x:v>InferenceBench</x:v>
      </x:c>
      <x:c r="D11" s="28" t="str">
        <x:v>SGLang / Magpie</x:v>
      </x:c>
      <x:c r="E11" s="28" t="str">
        <x:v>MXFP4</x:v>
      </x:c>
      <x:c r="F11" s="28"/>
      <x:c r="G11" s="28" t="str">
        <x:v>fp8_e4m3</x:v>
      </x:c>
      <x:c r="H11" s="28" t="n">
        <x:v>8</x:v>
      </x:c>
      <x:c r="I11" s="28" t="n">
        <x:v>1024</x:v>
      </x:c>
      <x:c r="J11" s="28" t="n">
        <x:v>1024</x:v>
      </x:c>
      <x:c r="K11" s="28" t="n">
        <x:v>32</x:v>
      </x:c>
      <x:c r="L11" s="37"/>
      <x:c r="M11" s="37" t="n">
        <x:v>0.8</x:v>
      </x:c>
      <x:c r="N11" s="34"/>
      <x:c r="O11" s="34"/>
      <x:c r="P11" s="31" t="str">
        <x:f>IF(OR(N11="",O11=""),"",O11/N11-1)</x:f>
      </x:c>
      <x:c r="Q11" s="34"/>
      <x:c r="R11" s="34"/>
      <x:c r="S11" s="31" t="str">
        <x:f>IF(OR(Q11="",R11=""),"",R11/Q11-1)</x:f>
      </x:c>
      <x:c r="T11" s="34"/>
      <x:c r="U11" s="34"/>
      <x:c r="V11" s="31" t="str">
        <x:f>IF(OR(T11="",U11=""),"",U11/T11-1)</x:f>
      </x:c>
      <x:c r="W11" s="34"/>
      <x:c r="X11" s="34"/>
      <x:c r="Y11" s="31" t="str">
        <x:f>IF(OR(W11="",X11=""),"",X11/W11-1)</x:f>
      </x:c>
      <x:c r="Z11" s="34"/>
      <x:c r="AA11" s="34"/>
      <x:c r="AB11" s="31" t="str">
        <x:f>IF(OR(Z11="",AA11=""),"",AA11/Z11-1)</x:f>
      </x:c>
      <x:c r="AC11" s="40" t="str">
        <x:f>IF(A11="","",IF(B11&lt;&gt;"Passed",B11,IF(AND(L11&lt;&gt;"",M11&lt;&gt;"",L11&lt;&gt;M11),"Workload mismatch",IF(AND(P11&gt;0,Y11&lt;0,AB11&lt;0),"Improved","Mixed result"))))</x:f>
        <x:v>Pending</x:v>
      </x:c>
      <x:c r="AD11" s="40" t="str">
        <x:v>Reference archive requires extraction</x:v>
      </x:c>
      <x:c r="AE11" s="40"/>
    </x:row>
    <x:row r="12" ht="34" customHeight="1">
      <x:c r="A12" s="28" t="str">
        <x:v>MiniMax-M2.5-FP8</x:v>
      </x:c>
      <x:c r="B12" s="28" t="str">
        <x:v>Pending</x:v>
      </x:c>
      <x:c r="C12" s="28" t="str">
        <x:v>InferenceBench</x:v>
      </x:c>
      <x:c r="D12" s="28" t="str">
        <x:v>SGLang / Magpie</x:v>
      </x:c>
      <x:c r="E12" s="28" t="str">
        <x:v>FP8</x:v>
      </x:c>
      <x:c r="F12" s="28"/>
      <x:c r="G12" s="28" t="str">
        <x:v>fp8_e4m3</x:v>
      </x:c>
      <x:c r="H12" s="28" t="n">
        <x:v>8</x:v>
      </x:c>
      <x:c r="I12" s="28" t="n">
        <x:v>1024</x:v>
      </x:c>
      <x:c r="J12" s="28" t="n">
        <x:v>1024</x:v>
      </x:c>
      <x:c r="K12" s="28" t="n">
        <x:v>32</x:v>
      </x:c>
      <x:c r="L12" s="37"/>
      <x:c r="M12" s="37" t="n">
        <x:v>0.8</x:v>
      </x:c>
      <x:c r="N12" s="34"/>
      <x:c r="O12" s="34"/>
      <x:c r="P12" s="31" t="str">
        <x:f>IF(OR(N12="",O12=""),"",O12/N12-1)</x:f>
      </x:c>
      <x:c r="Q12" s="34"/>
      <x:c r="R12" s="34"/>
      <x:c r="S12" s="31" t="str">
        <x:f>IF(OR(Q12="",R12=""),"",R12/Q12-1)</x:f>
      </x:c>
      <x:c r="T12" s="34"/>
      <x:c r="U12" s="34"/>
      <x:c r="V12" s="31" t="str">
        <x:f>IF(OR(T12="",U12=""),"",U12/T12-1)</x:f>
      </x:c>
      <x:c r="W12" s="34"/>
      <x:c r="X12" s="34"/>
      <x:c r="Y12" s="31" t="str">
        <x:f>IF(OR(W12="",X12=""),"",X12/W12-1)</x:f>
      </x:c>
      <x:c r="Z12" s="34"/>
      <x:c r="AA12" s="34"/>
      <x:c r="AB12" s="31" t="str">
        <x:f>IF(OR(Z12="",AA12=""),"",AA12/Z12-1)</x:f>
      </x:c>
      <x:c r="AC12" s="40" t="str">
        <x:f>IF(A12="","",IF(B12&lt;&gt;"Passed",B12,IF(AND(L12&lt;&gt;"",M12&lt;&gt;"",L12&lt;&gt;M12),"Workload mismatch",IF(AND(P12&gt;0,Y12&lt;0,AB12&lt;0),"Improved","Mixed result"))))</x:f>
        <x:v>Pending</x:v>
      </x:c>
      <x:c r="AD12" s="40" t="str">
        <x:v>Reference archive requires extraction</x:v>
      </x:c>
      <x:c r="AE12" s="40"/>
    </x:row>
    <x:row r="13" ht="34" customHeight="1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37"/>
      <x:c r="M13" s="37"/>
      <x:c r="N13" s="34"/>
      <x:c r="O13" s="34"/>
      <x:c r="P13" s="31" t="str">
        <x:f>IF(OR(N13="",O13=""),"",O13/N13-1)</x:f>
      </x:c>
      <x:c r="Q13" s="34"/>
      <x:c r="R13" s="34"/>
      <x:c r="S13" s="31" t="str">
        <x:f>IF(OR(Q13="",R13=""),"",R13/Q13-1)</x:f>
      </x:c>
      <x:c r="T13" s="34"/>
      <x:c r="U13" s="34"/>
      <x:c r="V13" s="31" t="str">
        <x:f>IF(OR(T13="",U13=""),"",U13/T13-1)</x:f>
      </x:c>
      <x:c r="W13" s="34"/>
      <x:c r="X13" s="34"/>
      <x:c r="Y13" s="31" t="str">
        <x:f>IF(OR(W13="",X13=""),"",X13/W13-1)</x:f>
      </x:c>
      <x:c r="Z13" s="34"/>
      <x:c r="AA13" s="34"/>
      <x:c r="AB13" s="31" t="str">
        <x:f>IF(OR(Z13="",AA13=""),"",AA13/Z13-1)</x:f>
      </x:c>
      <x:c r="AC13" s="40" t="str">
        <x:f>IF(A13="","",IF(B13&lt;&gt;"Passed",B13,IF(AND(L13&lt;&gt;"",M13&lt;&gt;"",L13&lt;&gt;M13),"Workload mismatch",IF(AND(P13&gt;0,Y13&lt;0,AB13&lt;0),"Improved","Mixed result"))))</x:f>
      </x:c>
      <x:c r="AD13" s="40"/>
      <x:c r="AE13" s="40"/>
    </x:row>
    <x:row r="14" ht="34" customHeight="1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37"/>
      <x:c r="M14" s="37"/>
      <x:c r="N14" s="34"/>
      <x:c r="O14" s="34"/>
      <x:c r="P14" s="31" t="str">
        <x:f>IF(OR(N14="",O14=""),"",O14/N14-1)</x:f>
      </x:c>
      <x:c r="Q14" s="34"/>
      <x:c r="R14" s="34"/>
      <x:c r="S14" s="31" t="str">
        <x:f>IF(OR(Q14="",R14=""),"",R14/Q14-1)</x:f>
      </x:c>
      <x:c r="T14" s="34"/>
      <x:c r="U14" s="34"/>
      <x:c r="V14" s="31" t="str">
        <x:f>IF(OR(T14="",U14=""),"",U14/T14-1)</x:f>
      </x:c>
      <x:c r="W14" s="34"/>
      <x:c r="X14" s="34"/>
      <x:c r="Y14" s="31" t="str">
        <x:f>IF(OR(W14="",X14=""),"",X14/W14-1)</x:f>
      </x:c>
      <x:c r="Z14" s="34"/>
      <x:c r="AA14" s="34"/>
      <x:c r="AB14" s="31" t="str">
        <x:f>IF(OR(Z14="",AA14=""),"",AA14/Z14-1)</x:f>
      </x:c>
      <x:c r="AC14" s="40" t="str">
        <x:f>IF(A14="","",IF(B14&lt;&gt;"Passed",B14,IF(AND(L14&lt;&gt;"",M14&lt;&gt;"",L14&lt;&gt;M14),"Workload mismatch",IF(AND(P14&gt;0,Y14&lt;0,AB14&lt;0),"Improved","Mixed result"))))</x:f>
      </x:c>
      <x:c r="AD14" s="40"/>
      <x:c r="AE14" s="40"/>
    </x:row>
    <x:row r="15" ht="34" customHeight="1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37"/>
      <x:c r="M15" s="37"/>
      <x:c r="N15" s="34"/>
      <x:c r="O15" s="34"/>
      <x:c r="P15" s="31" t="str">
        <x:f>IF(OR(N15="",O15=""),"",O15/N15-1)</x:f>
      </x:c>
      <x:c r="Q15" s="34"/>
      <x:c r="R15" s="34"/>
      <x:c r="S15" s="31" t="str">
        <x:f>IF(OR(Q15="",R15=""),"",R15/Q15-1)</x:f>
      </x:c>
      <x:c r="T15" s="34"/>
      <x:c r="U15" s="34"/>
      <x:c r="V15" s="31" t="str">
        <x:f>IF(OR(T15="",U15=""),"",U15/T15-1)</x:f>
      </x:c>
      <x:c r="W15" s="34"/>
      <x:c r="X15" s="34"/>
      <x:c r="Y15" s="31" t="str">
        <x:f>IF(OR(W15="",X15=""),"",X15/W15-1)</x:f>
      </x:c>
      <x:c r="Z15" s="34"/>
      <x:c r="AA15" s="34"/>
      <x:c r="AB15" s="31" t="str">
        <x:f>IF(OR(Z15="",AA15=""),"",AA15/Z15-1)</x:f>
      </x:c>
      <x:c r="AC15" s="40" t="str">
        <x:f>IF(A15="","",IF(B15&lt;&gt;"Passed",B15,IF(AND(L15&lt;&gt;"",M15&lt;&gt;"",L15&lt;&gt;M15),"Workload mismatch",IF(AND(P15&gt;0,Y15&lt;0,AB15&lt;0),"Improved","Mixed result"))))</x:f>
      </x:c>
      <x:c r="AD15" s="40"/>
      <x:c r="AE15" s="40"/>
    </x:row>
    <x:row r="16" ht="34" customHeight="1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37"/>
      <x:c r="M16" s="37"/>
      <x:c r="N16" s="34"/>
      <x:c r="O16" s="34"/>
      <x:c r="P16" s="31" t="str">
        <x:f>IF(OR(N16="",O16=""),"",O16/N16-1)</x:f>
      </x:c>
      <x:c r="Q16" s="34"/>
      <x:c r="R16" s="34"/>
      <x:c r="S16" s="31" t="str">
        <x:f>IF(OR(Q16="",R16=""),"",R16/Q16-1)</x:f>
      </x:c>
      <x:c r="T16" s="34"/>
      <x:c r="U16" s="34"/>
      <x:c r="V16" s="31" t="str">
        <x:f>IF(OR(T16="",U16=""),"",U16/T16-1)</x:f>
      </x:c>
      <x:c r="W16" s="34"/>
      <x:c r="X16" s="34"/>
      <x:c r="Y16" s="31" t="str">
        <x:f>IF(OR(W16="",X16=""),"",X16/W16-1)</x:f>
      </x:c>
      <x:c r="Z16" s="34"/>
      <x:c r="AA16" s="34"/>
      <x:c r="AB16" s="31" t="str">
        <x:f>IF(OR(Z16="",AA16=""),"",AA16/Z16-1)</x:f>
      </x:c>
      <x:c r="AC16" s="40" t="str">
        <x:f>IF(A16="","",IF(B16&lt;&gt;"Passed",B16,IF(AND(L16&lt;&gt;"",M16&lt;&gt;"",L16&lt;&gt;M16),"Workload mismatch",IF(AND(P16&gt;0,Y16&lt;0,AB16&lt;0),"Improved","Mixed result"))))</x:f>
      </x:c>
      <x:c r="AD16" s="40"/>
      <x:c r="AE16" s="40"/>
    </x:row>
    <x:row r="17" ht="34" customHeight="1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37"/>
      <x:c r="M17" s="37"/>
      <x:c r="N17" s="34"/>
      <x:c r="O17" s="34"/>
      <x:c r="P17" s="31" t="str">
        <x:f>IF(OR(N17="",O17=""),"",O17/N17-1)</x:f>
      </x:c>
      <x:c r="Q17" s="34"/>
      <x:c r="R17" s="34"/>
      <x:c r="S17" s="31" t="str">
        <x:f>IF(OR(Q17="",R17=""),"",R17/Q17-1)</x:f>
      </x:c>
      <x:c r="T17" s="34"/>
      <x:c r="U17" s="34"/>
      <x:c r="V17" s="31" t="str">
        <x:f>IF(OR(T17="",U17=""),"",U17/T17-1)</x:f>
      </x:c>
      <x:c r="W17" s="34"/>
      <x:c r="X17" s="34"/>
      <x:c r="Y17" s="31" t="str">
        <x:f>IF(OR(W17="",X17=""),"",X17/W17-1)</x:f>
      </x:c>
      <x:c r="Z17" s="34"/>
      <x:c r="AA17" s="34"/>
      <x:c r="AB17" s="31" t="str">
        <x:f>IF(OR(Z17="",AA17=""),"",AA17/Z17-1)</x:f>
      </x:c>
      <x:c r="AC17" s="40" t="str">
        <x:f>IF(A17="","",IF(B17&lt;&gt;"Passed",B17,IF(AND(L17&lt;&gt;"",M17&lt;&gt;"",L17&lt;&gt;M17),"Workload mismatch",IF(AND(P17&gt;0,Y17&lt;0,AB17&lt;0),"Improved","Mixed result"))))</x:f>
      </x:c>
      <x:c r="AD17" s="40"/>
      <x:c r="AE17" s="40"/>
    </x:row>
    <x:row r="18" ht="34" customHeight="1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37"/>
      <x:c r="M18" s="37"/>
      <x:c r="N18" s="34"/>
      <x:c r="O18" s="34"/>
      <x:c r="P18" s="31" t="str">
        <x:f>IF(OR(N18="",O18=""),"",O18/N18-1)</x:f>
      </x:c>
      <x:c r="Q18" s="34"/>
      <x:c r="R18" s="34"/>
      <x:c r="S18" s="31" t="str">
        <x:f>IF(OR(Q18="",R18=""),"",R18/Q18-1)</x:f>
      </x:c>
      <x:c r="T18" s="34"/>
      <x:c r="U18" s="34"/>
      <x:c r="V18" s="31" t="str">
        <x:f>IF(OR(T18="",U18=""),"",U18/T18-1)</x:f>
      </x:c>
      <x:c r="W18" s="34"/>
      <x:c r="X18" s="34"/>
      <x:c r="Y18" s="31" t="str">
        <x:f>IF(OR(W18="",X18=""),"",X18/W18-1)</x:f>
      </x:c>
      <x:c r="Z18" s="34"/>
      <x:c r="AA18" s="34"/>
      <x:c r="AB18" s="31" t="str">
        <x:f>IF(OR(Z18="",AA18=""),"",AA18/Z18-1)</x:f>
      </x:c>
      <x:c r="AC18" s="40" t="str">
        <x:f>IF(A18="","",IF(B18&lt;&gt;"Passed",B18,IF(AND(L18&lt;&gt;"",M18&lt;&gt;"",L18&lt;&gt;M18),"Workload mismatch",IF(AND(P18&gt;0,Y18&lt;0,AB18&lt;0),"Improved","Mixed result"))))</x:f>
      </x:c>
      <x:c r="AD18" s="40"/>
      <x:c r="AE18" s="40"/>
    </x:row>
    <x:row r="19" ht="34" customHeight="1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37"/>
      <x:c r="M19" s="37"/>
      <x:c r="N19" s="34"/>
      <x:c r="O19" s="34"/>
      <x:c r="P19" s="31" t="str">
        <x:f>IF(OR(N19="",O19=""),"",O19/N19-1)</x:f>
      </x:c>
      <x:c r="Q19" s="34"/>
      <x:c r="R19" s="34"/>
      <x:c r="S19" s="31" t="str">
        <x:f>IF(OR(Q19="",R19=""),"",R19/Q19-1)</x:f>
      </x:c>
      <x:c r="T19" s="34"/>
      <x:c r="U19" s="34"/>
      <x:c r="V19" s="31" t="str">
        <x:f>IF(OR(T19="",U19=""),"",U19/T19-1)</x:f>
      </x:c>
      <x:c r="W19" s="34"/>
      <x:c r="X19" s="34"/>
      <x:c r="Y19" s="31" t="str">
        <x:f>IF(OR(W19="",X19=""),"",X19/W19-1)</x:f>
      </x:c>
      <x:c r="Z19" s="34"/>
      <x:c r="AA19" s="34"/>
      <x:c r="AB19" s="31" t="str">
        <x:f>IF(OR(Z19="",AA19=""),"",AA19/Z19-1)</x:f>
      </x:c>
      <x:c r="AC19" s="40" t="str">
        <x:f>IF(A19="","",IF(B19&lt;&gt;"Passed",B19,IF(AND(L19&lt;&gt;"",M19&lt;&gt;"",L19&lt;&gt;M19),"Workload mismatch",IF(AND(P19&gt;0,Y19&lt;0,AB19&lt;0),"Improved","Mixed result"))))</x:f>
      </x:c>
      <x:c r="AD19" s="40"/>
      <x:c r="AE19" s="40"/>
    </x:row>
    <x:row r="20" ht="34" customHeight="1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37"/>
      <x:c r="M20" s="37"/>
      <x:c r="N20" s="34"/>
      <x:c r="O20" s="34"/>
      <x:c r="P20" s="31" t="str">
        <x:f>IF(OR(N20="",O20=""),"",O20/N20-1)</x:f>
      </x:c>
      <x:c r="Q20" s="34"/>
      <x:c r="R20" s="34"/>
      <x:c r="S20" s="31" t="str">
        <x:f>IF(OR(Q20="",R20=""),"",R20/Q20-1)</x:f>
      </x:c>
      <x:c r="T20" s="34"/>
      <x:c r="U20" s="34"/>
      <x:c r="V20" s="31" t="str">
        <x:f>IF(OR(T20="",U20=""),"",U20/T20-1)</x:f>
      </x:c>
      <x:c r="W20" s="34"/>
      <x:c r="X20" s="34"/>
      <x:c r="Y20" s="31" t="str">
        <x:f>IF(OR(W20="",X20=""),"",X20/W20-1)</x:f>
      </x:c>
      <x:c r="Z20" s="34"/>
      <x:c r="AA20" s="34"/>
      <x:c r="AB20" s="31" t="str">
        <x:f>IF(OR(Z20="",AA20=""),"",AA20/Z20-1)</x:f>
      </x:c>
      <x:c r="AC20" s="40" t="str">
        <x:f>IF(A20="","",IF(B20&lt;&gt;"Passed",B20,IF(AND(L20&lt;&gt;"",M20&lt;&gt;"",L20&lt;&gt;M20),"Workload mismatch",IF(AND(P20&gt;0,Y20&lt;0,AB20&lt;0),"Improved","Mixed result"))))</x:f>
      </x:c>
      <x:c r="AD20" s="40"/>
      <x:c r="AE20" s="40"/>
    </x:row>
    <x:row r="21" ht="34" customHeight="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37"/>
      <x:c r="M21" s="37"/>
      <x:c r="N21" s="34"/>
      <x:c r="O21" s="34"/>
      <x:c r="P21" s="31" t="str">
        <x:f>IF(OR(N21="",O21=""),"",O21/N21-1)</x:f>
      </x:c>
      <x:c r="Q21" s="34"/>
      <x:c r="R21" s="34"/>
      <x:c r="S21" s="31" t="str">
        <x:f>IF(OR(Q21="",R21=""),"",R21/Q21-1)</x:f>
      </x:c>
      <x:c r="T21" s="34"/>
      <x:c r="U21" s="34"/>
      <x:c r="V21" s="31" t="str">
        <x:f>IF(OR(T21="",U21=""),"",U21/T21-1)</x:f>
      </x:c>
      <x:c r="W21" s="34"/>
      <x:c r="X21" s="34"/>
      <x:c r="Y21" s="31" t="str">
        <x:f>IF(OR(W21="",X21=""),"",X21/W21-1)</x:f>
      </x:c>
      <x:c r="Z21" s="34"/>
      <x:c r="AA21" s="34"/>
      <x:c r="AB21" s="31" t="str">
        <x:f>IF(OR(Z21="",AA21=""),"",AA21/Z21-1)</x:f>
      </x:c>
      <x:c r="AC21" s="40" t="str">
        <x:f>IF(A21="","",IF(B21&lt;&gt;"Passed",B21,IF(AND(L21&lt;&gt;"",M21&lt;&gt;"",L21&lt;&gt;M21),"Workload mismatch",IF(AND(P21&gt;0,Y21&lt;0,AB21&lt;0),"Improved","Mixed result"))))</x:f>
      </x:c>
      <x:c r="AD21" s="40"/>
      <x:c r="AE21" s="40"/>
    </x:row>
    <x:row r="22" ht="34" customHeight="1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37"/>
      <x:c r="M22" s="37"/>
      <x:c r="N22" s="34"/>
      <x:c r="O22" s="34"/>
      <x:c r="P22" s="31" t="str">
        <x:f>IF(OR(N22="",O22=""),"",O22/N22-1)</x:f>
      </x:c>
      <x:c r="Q22" s="34"/>
      <x:c r="R22" s="34"/>
      <x:c r="S22" s="31" t="str">
        <x:f>IF(OR(Q22="",R22=""),"",R22/Q22-1)</x:f>
      </x:c>
      <x:c r="T22" s="34"/>
      <x:c r="U22" s="34"/>
      <x:c r="V22" s="31" t="str">
        <x:f>IF(OR(T22="",U22=""),"",U22/T22-1)</x:f>
      </x:c>
      <x:c r="W22" s="34"/>
      <x:c r="X22" s="34"/>
      <x:c r="Y22" s="31" t="str">
        <x:f>IF(OR(W22="",X22=""),"",X22/W22-1)</x:f>
      </x:c>
      <x:c r="Z22" s="34"/>
      <x:c r="AA22" s="34"/>
      <x:c r="AB22" s="31" t="str">
        <x:f>IF(OR(Z22="",AA22=""),"",AA22/Z22-1)</x:f>
      </x:c>
      <x:c r="AC22" s="40" t="str">
        <x:f>IF(A22="","",IF(B22&lt;&gt;"Passed",B22,IF(AND(L22&lt;&gt;"",M22&lt;&gt;"",L22&lt;&gt;M22),"Workload mismatch",IF(AND(P22&gt;0,Y22&lt;0,AB22&lt;0),"Improved","Mixed result"))))</x:f>
      </x:c>
      <x:c r="AD22" s="40"/>
      <x:c r="AE22" s="40"/>
    </x:row>
    <x:row r="23" ht="34" customHeight="1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37"/>
      <x:c r="M23" s="37"/>
      <x:c r="N23" s="34"/>
      <x:c r="O23" s="34"/>
      <x:c r="P23" s="31" t="str">
        <x:f>IF(OR(N23="",O23=""),"",O23/N23-1)</x:f>
      </x:c>
      <x:c r="Q23" s="34"/>
      <x:c r="R23" s="34"/>
      <x:c r="S23" s="31" t="str">
        <x:f>IF(OR(Q23="",R23=""),"",R23/Q23-1)</x:f>
      </x:c>
      <x:c r="T23" s="34"/>
      <x:c r="U23" s="34"/>
      <x:c r="V23" s="31" t="str">
        <x:f>IF(OR(T23="",U23=""),"",U23/T23-1)</x:f>
      </x:c>
      <x:c r="W23" s="34"/>
      <x:c r="X23" s="34"/>
      <x:c r="Y23" s="31" t="str">
        <x:f>IF(OR(W23="",X23=""),"",X23/W23-1)</x:f>
      </x:c>
      <x:c r="Z23" s="34"/>
      <x:c r="AA23" s="34"/>
      <x:c r="AB23" s="31" t="str">
        <x:f>IF(OR(Z23="",AA23=""),"",AA23/Z23-1)</x:f>
      </x:c>
      <x:c r="AC23" s="40" t="str">
        <x:f>IF(A23="","",IF(B23&lt;&gt;"Passed",B23,IF(AND(L23&lt;&gt;"",M23&lt;&gt;"",L23&lt;&gt;M23),"Workload mismatch",IF(AND(P23&gt;0,Y23&lt;0,AB23&lt;0),"Improved","Mixed result"))))</x:f>
      </x:c>
      <x:c r="AD23" s="40"/>
      <x:c r="AE23" s="40"/>
    </x:row>
    <x:row r="24" ht="3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8"/>
      <x:c r="M24" s="38"/>
      <x:c r="N24" s="35"/>
      <x:c r="O24" s="35"/>
      <x:c r="P24" s="32" t="str">
        <x:f>IF(OR(N24="",O24=""),"",O24/N24-1)</x:f>
      </x:c>
      <x:c r="Q24" s="35"/>
      <x:c r="R24" s="35"/>
      <x:c r="S24" s="32" t="str">
        <x:f>IF(OR(Q24="",R24=""),"",R24/Q24-1)</x:f>
      </x:c>
      <x:c r="T24" s="35"/>
      <x:c r="U24" s="35"/>
      <x:c r="V24" s="32" t="str">
        <x:f>IF(OR(T24="",U24=""),"",U24/T24-1)</x:f>
      </x:c>
      <x:c r="W24" s="35"/>
      <x:c r="X24" s="35"/>
      <x:c r="Y24" s="32" t="str">
        <x:f>IF(OR(W24="",X24=""),"",X24/W24-1)</x:f>
      </x:c>
      <x:c r="Z24" s="35"/>
      <x:c r="AA24" s="35"/>
      <x:c r="AB24" s="32" t="str">
        <x:f>IF(OR(Z24="",AA24=""),"",AA24/Z24-1)</x:f>
      </x:c>
      <x:c r="AC24" s="41" t="str">
        <x:f>IF(A24="","",IF(B24&lt;&gt;"Passed",B24,IF(AND(L24&lt;&gt;"",M24&lt;&gt;"",L24&lt;&gt;M24),"Workload mismatch",IF(AND(P24&gt;0,Y24&lt;0,AB24&lt;0),"Improved","Mixed result"))))</x:f>
      </x:c>
      <x:c r="AD24" s="41"/>
      <x:c r="AE24" s="41"/>
    </x:row>
  </x:sheetData>
  <x:mergeCells>
    <x:mergeCell ref="A1:AE1"/>
    <x:mergeCell ref="A2:AE2"/>
  </x:mergeCells>
  <x:conditionalFormatting sqref="P5:P2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S5:S24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V5:V24">
    <x:cfRule type="cellIs" dxfId="4" priority="5" operator="lessThan">
      <x:formula>0</x:formula>
    </x:cfRule>
    <x:cfRule type="cellIs" dxfId="5" priority="6" operator="greaterThan">
      <x:formula>0</x:formula>
    </x:cfRule>
  </x:conditionalFormatting>
  <x:conditionalFormatting sqref="Y5:Y24">
    <x:cfRule type="cellIs" dxfId="6" priority="7" operator="lessThan">
      <x:formula>0</x:formula>
    </x:cfRule>
    <x:cfRule type="cellIs" dxfId="7" priority="8" operator="greaterThan">
      <x:formula>0</x:formula>
    </x:cfRule>
  </x:conditionalFormatting>
  <x:conditionalFormatting sqref="AB5:AB24">
    <x:cfRule type="cellIs" dxfId="8" priority="9" operator="lessThan">
      <x:formula>0</x:formula>
    </x:cfRule>
    <x:cfRule type="cellIs" dxfId="9" priority="10" operator="greaterThan">
      <x:formula>0</x:formula>
    </x:cfRule>
  </x:conditionalFormatting>
  <x:dataValidations count="1">
    <x:dataValidation type="list" sqref="B5:B24">
      <x:formula1>"Pending,Running,Passed,Failed,Needs aligned rerun"</x:formula1>
    </x:dataValidation>
  </x:dataValidations>
  <x:pageMargins left="0.7" right="0.7" top="0.75" bottom="0.75" header="0.3" footer="0.3"/>
  <x:legacyDrawing xmlns:r="http://schemas.openxmlformats.org/officeDocument/2006/relationships" r:id="Rd9dbc3cae81847d1"/>
  <x:tableParts count="1">
    <x:tablePart xmlns:r="http://schemas.openxmlformats.org/officeDocument/2006/relationships" r:id="Rf014dae663e24f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>
      <x:c r="A1" s="2" t="str">
        <x:v>Methodology and Update Guide</x:v>
      </x:c>
      <x:c r="B1" s="2"/>
      <x:c r="C1" s="2"/>
      <x:c r="D1" s="2"/>
    </x:row>
    <x:row r="3">
      <x:c r="A3" s="53" t="str">
        <x:v>Item</x:v>
      </x:c>
      <x:c r="B3" s="53" t="str">
        <x:v>Detail</x:v>
      </x:c>
    </x:row>
    <x:row r="4" ht="38" customHeight="1">
      <x:c r="A4" s="58" t="str">
        <x:v>Comparison baseline</x:v>
      </x:c>
      <x:c r="B4" s="62" t="str">
        <x:v>Use InferenceBench result files only. Magpie auto-KV run is intentionally excluded.</x:v>
      </x:c>
    </x:row>
    <x:row r="5" ht="38" customHeight="1">
      <x:c r="A5" s="58" t="str">
        <x:v>Matching keys</x:v>
      </x:c>
      <x:c r="B5" s="62" t="str">
        <x:v>Model variant, precision, TP, ISL, OSL and concurrency must match. KV dtype, backend and RANGE_RATIO are shown separately.</x:v>
      </x:c>
    </x:row>
    <x:row r="6" ht="38" customHeight="1">
      <x:c r="A6" s="58" t="str">
        <x:v>Throughput delta</x:v>
      </x:c>
      <x:c r="B6" s="62" t="str">
        <x:v>(Test / Reference) - 1. Positive is better.</x:v>
      </x:c>
    </x:row>
    <x:row r="7" ht="38" customHeight="1">
      <x:c r="A7" s="58" t="str">
        <x:v>Latency delta</x:v>
      </x:c>
      <x:c r="B7" s="62" t="str">
        <x:v>(Test / Reference) - 1. Negative is better.</x:v>
      </x:c>
    </x:row>
    <x:row r="8" ht="38" customHeight="1">
      <x:c r="A8" s="58" t="str">
        <x:v>DSR1 TTFT caveat</x:v>
      </x:c>
      <x:c r="B8" s="62" t="str">
        <x:v>Completed test used RANGE_RATIO=1.0; InferenceBench defaults to 0.8. Treat the +300.3% TTFT as provisional until the queued aligned rerun completes.</x:v>
      </x:c>
    </x:row>
    <x:row r="9" ht="38" customHeight="1">
      <x:c r="A9" s="58" t="str">
        <x:v>Current aligned configuration</x:v>
      </x:c>
      <x:c r="B9" s="62" t="str">
        <x:v>All 17 Magpie SGLang MI355X YAML files now use RANDOM_RANGE_RATIO=0.8.</x:v>
      </x:c>
    </x:row>
    <x:row r="10" ht="38" customHeight="1">
      <x:c r="A10" s="58" t="str">
        <x:v>Kimi status</x:v>
      </x:c>
      <x:c r="B10" s="62" t="str">
        <x:v>Completed successfully with TP4, FP8 KV cache, RANGE_RATIO=0.8 and benchmark-client trust_remote_code enabled.</x:v>
      </x:c>
    </x:row>
    <x:row r="11" ht="38" customHeight="1">
      <x:c r="A11" s="58" t="str">
        <x:v>Active test</x:v>
      </x:c>
      <x:c r="B11" s="62" t="str">
        <x:v>DSR1 MXFP4 TP8 + FP8 KV + RANGE_RATIO=0.8 is currently starting/loading.</x:v>
      </x:c>
    </x:row>
    <x:row r="12" ht="38" customHeight="1">
      <x:c r="A12" s="58" t="str">
        <x:v>How to append</x:v>
      </x:c>
      <x:c r="B12" s="62" t="str">
        <x:v>Add a row in Comparisons, fill identity/reference/test cells, and copy formula cells P, S, V, Y, AB and AC from the preceding row if extending beyond the prepared rows.</x:v>
      </x:c>
    </x:row>
    <x:row r="13" ht="38" customHeight="1">
      <x:c r="A13" s="59" t="str">
        <x:v>Source units</x:v>
      </x:c>
      <x:c r="B13" s="63" t="str">
        <x:v>Workbook reference throughput values stored per GPU were converted to system throughput by multiplying by TP.</x:v>
      </x:c>
    </x:row>
  </x:sheetData>
  <x:mergeCells>
    <x:mergeCell ref="A1:D1"/>
  </x:mergeCells>
  <x:pageMargins left="0.7" right="0.7" top="0.75" bottom="0.75" header="0.3" footer="0.3"/>
</x:worksheet>
</file>